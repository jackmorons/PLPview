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" state="visible" r:id="rId4"/>
    <sheet sheetId="2" name="Massimali" state="visible" r:id="rId5"/>
    <sheet sheetId="3" name="overall" state="visible" r:id="rId6"/>
    <sheet sheetId="4" name="accessori" state="visible" r:id="rId7"/>
    <sheet sheetId="5" name="meta" state="visible" r:id="rId8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Riga con A vuota = nuovo blocco: nome in B, varianti sotto le alzate.</t>
        </r>
      </text>
    </comment>
    <comment ref="B1" authorId="0">
      <text>
        <r>
          <t>Date della settimana (testo libero, facoltativo).</t>
        </r>
      </text>
    </comment>
    <comment ref="C1" authorId="0">
      <text>
        <r>
          <t>Tipo di settimana: normale (o vuoto), scarico, transizione, ramping, intensificazione, picco, taper, entrata, test, gara</t>
        </r>
      </text>
    </comment>
    <comment ref="D1" authorId="0">
      <text>
        <r>
          <t>Carico dai massimali: ="4x5 "&amp;MROUND(Massimali!$B$3*0.57,2.5)&amp;"kg" (riga 3 = prima alzata, 0.57 = 57%, arrotondato a 2,5), oppure testo con segnaposto: 4x5 {Squat .57}kg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1" authorId="0">
      <text>
        <r>
          <t>Rep e Intensità possono contenere carichi. Carico dai massimali: ="4x5 "&amp;MROUND(Massimali!$B$3*0.57,2.5)&amp;"kg" (riga 3 = prima alzata, 0.57 = 57%, arrotondato a 2,5), oppure testo con segnaposto: 4x5 {Squat .57}kg</t>
        </r>
      </text>
    </comment>
    <comment ref="G1" authorId="0">
      <text>
        <r>
          <t>Una colonna «Serie B…» per blocco di overall. Nelle settimane transizione/scarico/test l'app toglie 1 serie e aggiunge 1 al RIR.</t>
        </r>
      </text>
    </comment>
  </commentList>
</comments>
</file>

<file path=xl/sharedStrings.xml><?xml version="1.0" encoding="utf-8"?>
<sst xmlns="http://schemas.openxmlformats.org/spreadsheetml/2006/main" count="54" uniqueCount="52">
  <si>
    <t>Template PL – formato PL28 (accessori uguali per tutto il blocco)</t>
  </si>
  <si>
    <t>COME SI COMPILA</t>
  </si>
  <si>
    <t>• Le righe gialle sono un esempio: sostituiscile con il tuo programma. Il file importato così com'è è un programma valido di 1 settimana.</t>
  </si>
  <si>
    <t>• Massimali: nome in colonna A, massimale in colonna B, dalla riga 3. Le formule puntano alla riga: Massimali!$B$3 = prima alzata.</t>
  </si>
  <si>
    <t>• overall, riga 1: week | giorno | tipo | una colonna per alzata "Nome (giorno)", es. "Squat (A)". Le colonne vuote fanno da separatore.</t>
  </si>
  <si>
    <t>• overall, riga di blocco: A vuota, nome del blocco in B, varianti sotto ogni alzata. Righe di settimana: numero in A (1, 2, 3… senza buchi), date in B (facoltative), tipo in C, prescrizioni.</t>
  </si>
  <si>
    <t>• Righe vuote tra i blocchi vanno bene; due righe vuote di fila chiudono il foglio.</t>
  </si>
  <si>
    <t>• Tipo di settimana (menu a tendina): normale (o vuoto), scarico, transizione, ramping, intensificazione, picco, taper, entrata, test, gara.</t>
  </si>
  <si>
    <t>• Prescrizioni: testo libero; carichi con la formula ="4x5 "&amp;MROUND(Massimali!$B$3*0.75,2.5)&amp;"kg" oppure col segnaposto 4x5 {Squat .75}kg. Cella vuota = alzata non fatta quella settimana.</t>
  </si>
  <si>
    <t>• accessori: Giorno | Esercizio | Istruzioni | Gruppo | Rep | Intensità, poi una colonna "Serie B…" per blocco (intero, 0 = non fatto). Rep e Intensità possono contenere carichi, come le prescrizioni.</t>
  </si>
  <si>
    <t>• Nelle settimane transizione, scarico e test l'app toglie 1 serie agli accessori e aggiunge 1 al RIR.</t>
  </si>
  <si>
    <t>• Non unire celle. Il foglio meta indica la versione del formato: non toccarlo.</t>
  </si>
  <si>
    <t>Massimali di riferimento (kg)</t>
  </si>
  <si>
    <t>Squat</t>
  </si>
  <si>
    <t>Panca</t>
  </si>
  <si>
    <t>Stacco</t>
  </si>
  <si>
    <t>Totale</t>
  </si>
  <si>
    <t>week</t>
  </si>
  <si>
    <t>giorno</t>
  </si>
  <si>
    <t>tipo</t>
  </si>
  <si>
    <t>Squat (A)</t>
  </si>
  <si>
    <t>Panca (A)</t>
  </si>
  <si>
    <t>Stacco (B)</t>
  </si>
  <si>
    <t>Panca var. (C)</t>
  </si>
  <si>
    <t>Blocco 1 – ESEMPIO</t>
  </si>
  <si>
    <t>no var.</t>
  </si>
  <si>
    <t>fermo 1''</t>
  </si>
  <si>
    <t>presa stretta</t>
  </si>
  <si>
    <t>4@7 + 90% 3x4</t>
  </si>
  <si>
    <t>Giorno</t>
  </si>
  <si>
    <t>Esercizio</t>
  </si>
  <si>
    <t>Istruzioni</t>
  </si>
  <si>
    <t>Gruppo</t>
  </si>
  <si>
    <t>Rep</t>
  </si>
  <si>
    <t>Intensità</t>
  </si>
  <si>
    <t>Serie B1 (sett 1-1)</t>
  </si>
  <si>
    <t>A</t>
  </si>
  <si>
    <t>Affondi</t>
  </si>
  <si>
    <t>manubri</t>
  </si>
  <si>
    <t>Femorali/glutei</t>
  </si>
  <si>
    <t>8-10</t>
  </si>
  <si>
    <t>RIR 2</t>
  </si>
  <si>
    <t>B</t>
  </si>
  <si>
    <t>Rematore</t>
  </si>
  <si>
    <t>Dorsali</t>
  </si>
  <si>
    <t>10-12</t>
  </si>
  <si>
    <t>RIR 1-2</t>
  </si>
  <si>
    <t>C</t>
  </si>
  <si>
    <t>Curl</t>
  </si>
  <si>
    <t>Bicipiti</t>
  </si>
  <si>
    <t>RIR 1</t>
  </si>
  <si>
    <t>formatVersion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</si>
</sst>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1" x14ac:dyDescent="0.25">
      <c r="A1" s="1" t="s">
        <v>12</v>
      </c>
    </row>
    <row r="3" spans="1:2" x14ac:dyDescent="0.25">
      <c r="A3" t="s">
        <v>13</v>
      </c>
      <c r="B3" s="2">
        <v>180</v>
      </c>
    </row>
    <row r="4" spans="1:2" x14ac:dyDescent="0.25">
      <c r="A4" t="s">
        <v>14</v>
      </c>
      <c r="B4" s="2">
        <v>120</v>
      </c>
    </row>
    <row r="5" spans="1:2" x14ac:dyDescent="0.25">
      <c r="A5" t="s">
        <v>15</v>
      </c>
      <c r="B5" s="2">
        <v>210</v>
      </c>
    </row>
    <row r="6" spans="1:2" x14ac:dyDescent="0.25">
      <c r="A6" s="1" t="s">
        <v>16</v>
      </c>
      <c r="B6">
        <f>SUM(B3:B5)</f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6" customWidth="1"/>
    <col min="4" max="7" width="24" customWidth="1"/>
  </cols>
  <sheetData>
    <row r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 x14ac:dyDescent="0.25">
      <c r="A2" s="2"/>
      <c r="B2" s="4" t="s">
        <v>24</v>
      </c>
      <c r="C2" s="2"/>
      <c r="D2" s="2" t="s">
        <v>25</v>
      </c>
      <c r="E2" s="2" t="s">
        <v>26</v>
      </c>
      <c r="F2" s="2" t="s">
        <v>25</v>
      </c>
      <c r="G2" s="2" t="s">
        <v>27</v>
      </c>
    </row>
    <row r="3" spans="1:7" x14ac:dyDescent="0.25">
      <c r="A3" s="2">
        <v>1</v>
      </c>
      <c r="B3" s="2"/>
      <c r="C3" s="2"/>
      <c r="D3" s="2" t="str">
        <f>"4x5 "&amp;MROUND(Massimali!$B$3*0.75,2.5)&amp;"kg"</f>
        <v>4x5 135kg</v>
      </c>
      <c r="E3" s="2" t="str">
        <f>"5x5 "&amp;MROUND(Massimali!$B$4*0.72,2.5)&amp;"kg"</f>
        <v>5x5 87,5kg</v>
      </c>
      <c r="F3" s="2" t="s">
        <v>28</v>
      </c>
      <c r="G3" s="2" t="str">
        <f>MROUND(Massimali!$B$4*0.65,2.5)&amp;"kg 30-35RT"</f>
        <v>77,5kg 30-35RT</v>
      </c>
    </row>
  </sheetData>
  <dataValidations count="1">
    <dataValidation type="list" allowBlank="1" showErrorMessage="1" errorStyle="stop" errorTitle="Valore non ammesso" error="Usa uno di: normale, scarico, transizione, ramping, intensificazione, picco, taper, entrata, test, gara" sqref="C2:C400">
      <formula1>"normale,scarico,transizione,ramping,intensificazione,picco,taper,entrata,test,gara"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0" customWidth="1"/>
    <col min="4" max="4" width="18" customWidth="1"/>
    <col min="5" max="5" width="10" customWidth="1"/>
    <col min="6" max="6" width="12" customWidth="1"/>
    <col min="7" max="7" width="18" customWidth="1"/>
  </cols>
  <sheetData>
    <row r="1" spans="1:7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>
        <v>3</v>
      </c>
    </row>
    <row r="3" spans="1:7" x14ac:dyDescent="0.25">
      <c r="A3" s="2" t="s">
        <v>42</v>
      </c>
      <c r="B3" s="2" t="s">
        <v>43</v>
      </c>
      <c r="C3" s="2"/>
      <c r="D3" s="2" t="s">
        <v>44</v>
      </c>
      <c r="E3" s="2" t="s">
        <v>45</v>
      </c>
      <c r="F3" s="2" t="s">
        <v>46</v>
      </c>
      <c r="G3" s="2">
        <v>3</v>
      </c>
    </row>
    <row r="4" spans="1:7" x14ac:dyDescent="0.25">
      <c r="A4" s="2" t="s">
        <v>47</v>
      </c>
      <c r="B4" s="2" t="s">
        <v>48</v>
      </c>
      <c r="C4" s="2"/>
      <c r="D4" s="2" t="s">
        <v>49</v>
      </c>
      <c r="E4" s="2" t="s">
        <v>45</v>
      </c>
      <c r="F4" s="2" t="s">
        <v>50</v>
      </c>
      <c r="G4" s="2">
        <v>3</v>
      </c>
    </row>
  </sheetData>
  <dataValidations count="1">
    <dataValidation type="list" allowBlank="1" errorStyle="stop" errorTitle="Valore non ammesso" error="Usa uno di: A, B, C" sqref="A2:A400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6" customWidth="1"/>
    <col min="2" max="2" width="6" customWidth="1"/>
  </cols>
  <sheetData>
    <row r="1" spans="1:2" x14ac:dyDescent="0.25">
      <c r="A1" t="s">
        <v>51</v>
      </c>
      <c r="B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Massimali</vt:lpstr>
      <vt:lpstr>overall</vt:lpstr>
      <vt:lpstr>accessori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2026-10-26T15:51:07Z</dcterms:created>
  <dcterms:modified xsi:type="dcterms:W3CDTF">2026-10-26T15:51:07Z</dcterms:modified>
</cp:coreProperties>
</file>