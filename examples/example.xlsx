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" sheetId="1" r:id="rId1"/>
    <sheet name="Massimali" sheetId="2" r:id="rId2"/>
    <sheet name="overall" sheetId="3" r:id="rId3"/>
    <sheet name="accessor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10.83203125" customWidth="1"/>
  </cols>
  <sheetData>
    <row r="1">
      <c r="A1" t="str">
        <v>Esempio – 10 settimane, 3 giorni, solo squat / panca / stacco</v>
      </c>
    </row>
    <row r="3">
      <c r="A3" t="str">
        <v>COME È FATTO</v>
      </c>
    </row>
    <row r="4">
      <c r="A4" t="str">
        <v>• Massimali: nome in colonna A, massimale in colonna B (righe 3-5). Cambiali e tutti i kg in overall si ricalcolano, arrotondati a 2,5 kg.</v>
      </c>
    </row>
    <row r="5">
      <c r="A5" t="str">
        <v>• overall: riga 1 = intestazioni "Nome (giorno)". Una riga con A vuota e il nome del blocco in B apre un blocco e contiene le varianti; le righe con il numero di settimana in A contengono le prescrizioni.</v>
      </c>
    </row>
    <row r="6">
      <c r="A6" t="str">
        <v>• Fase in colonna B: vuota, transizione, entrata o TEST. Cella vuota = alzata non fatta quella settimana.</v>
      </c>
    </row>
    <row r="7">
      <c r="A7" t="str">
        <v>• Carichi: formula ="4x5 "&amp;MROUND(Massimali!$B$3*0.75,2.5)&amp;"kg", oppure testo con segnaposto {Squat .75}kg.</v>
      </c>
    </row>
    <row r="8">
      <c r="A8" t="str">
        <v>• accessori: obbligatorio, anche vuoto. Una colonna "Serie B…" per blocco.</v>
      </c>
    </row>
    <row r="10">
      <c r="A10" t="str">
        <v>STRUTTURA</v>
      </c>
    </row>
    <row r="11">
      <c r="A11" t="str">
        <v>• Blocco 1 (sett. 1-5): accumulo, volume in calo e intensità in salita; settimana 5 di transizione.</v>
      </c>
    </row>
    <row r="12">
      <c r="A12" t="str">
        <v>• Blocco 2 (sett. 6-10): intensificazione con top set a RPE e back-off; settimana 10 TEST.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Massimali di riferimento (kg)</v>
      </c>
    </row>
    <row r="3">
      <c r="A3" t="str">
        <v>Squat</v>
      </c>
      <c r="B3">
        <v>180</v>
      </c>
    </row>
    <row r="4">
      <c r="A4" t="str">
        <v>Panca</v>
      </c>
      <c r="B4">
        <v>120</v>
      </c>
    </row>
    <row r="5">
      <c r="A5" t="str">
        <v>Stacco</v>
      </c>
      <c r="B5">
        <v>210</v>
      </c>
    </row>
    <row r="6">
      <c r="A6" t="str">
        <v>Totale</v>
      </c>
      <c r="B6">
        <f>SUM(B3:B5)</f>
        <v>510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6.83203125" customWidth="1"/>
    <col min="2" max="2" width="26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week</v>
      </c>
      <c r="B1" t="str">
        <v>fase</v>
      </c>
      <c r="C1" t="str">
        <v>Squat (A)</v>
      </c>
      <c r="D1" t="str">
        <v>Panca (A)</v>
      </c>
      <c r="E1" t="str">
        <v>Stacco (B)</v>
      </c>
      <c r="F1" t="str">
        <v>Panca volume (B)</v>
      </c>
      <c r="G1" t="str">
        <v>Squat volume (C)</v>
      </c>
      <c r="H1" t="str">
        <v>Panca var. (C)</v>
      </c>
      <c r="I1" t="str">
        <v>Stacco var. (C)</v>
      </c>
    </row>
    <row r="2">
      <c r="B2" t="str">
        <v>Blocco 1 – Accumulo</v>
      </c>
      <c r="C2" t="str">
        <v>no var.</v>
      </c>
      <c r="D2" t="str">
        <v>fermo 1''</v>
      </c>
      <c r="E2" t="str">
        <v>no var.</v>
      </c>
      <c r="F2" t="str">
        <v>presa stretta</v>
      </c>
      <c r="G2" t="str">
        <v>discesa 3''</v>
      </c>
      <c r="H2" t="str">
        <v>larsen</v>
      </c>
      <c r="I2" t="str">
        <v>RDL</v>
      </c>
    </row>
    <row r="3">
      <c r="A3">
        <v>1</v>
      </c>
      <c r="C3" t="str">
        <f>"4x6 "&amp;MROUND(Massimali!$B$3*0.70,2.5)&amp;"kg"</f>
        <v>4x6 125kg</v>
      </c>
      <c r="D3" t="str">
        <f>"5x5 "&amp;MROUND(Massimali!$B$4*0.70,2.5)&amp;"kg"</f>
        <v>5x5 85kg</v>
      </c>
      <c r="E3" t="str">
        <v>4@7 + 90% 3x4</v>
      </c>
      <c r="F3" t="str">
        <v>{Panca .65}kg 30-35RT</v>
      </c>
      <c r="G3" t="str">
        <f>"3x8 "&amp;MROUND(Massimali!$B$3*0.60,2.5)&amp;"kg"</f>
        <v>3x8 107,5kg</v>
      </c>
      <c r="H3" t="str">
        <v>4x6 @7</v>
      </c>
      <c r="I3" t="str">
        <f>"3x8 "&amp;MROUND(Massimali!$B$5*0.50,2.5)&amp;"kg"</f>
        <v>3x8 105kg</v>
      </c>
    </row>
    <row r="4">
      <c r="A4">
        <v>2</v>
      </c>
      <c r="C4" t="str">
        <f>"4x5 "&amp;MROUND(Massimali!$B$3*0.74,2.5)&amp;"kg"</f>
        <v>4x5 132,5kg</v>
      </c>
      <c r="D4" t="str">
        <f>"5x5 "&amp;MROUND(Massimali!$B$4*0.73,2.5)&amp;"kg"</f>
        <v>5x5 87,5kg</v>
      </c>
      <c r="E4" t="str">
        <f>"4x4 "&amp;MROUND(Massimali!$B$5*0.75,2.5)&amp;"kg"</f>
        <v>4x4 157,5kg</v>
      </c>
      <c r="F4" t="str">
        <f>MROUND(Massimali!$B$4*0.68,2.5)&amp;"kg 30-35RT"</f>
        <v>82,5kg 30-35RT</v>
      </c>
      <c r="G4" t="str">
        <f>"3x8 "&amp;MROUND(Massimali!$B$3*0.62,2.5)&amp;"kg"</f>
        <v>3x8 112,5kg</v>
      </c>
      <c r="H4" t="str">
        <v>4x6 @7</v>
      </c>
      <c r="I4" t="str">
        <f>"3x8 "&amp;MROUND(Massimali!$B$5*0.525,2.5)&amp;"kg"</f>
        <v>3x8 110kg</v>
      </c>
    </row>
    <row r="5">
      <c r="A5">
        <v>3</v>
      </c>
      <c r="C5" t="str">
        <f>"4x4 "&amp;MROUND(Massimali!$B$3*0.78,2.5)&amp;"kg"</f>
        <v>4x4 140kg</v>
      </c>
      <c r="D5" t="str">
        <f>"5x4 "&amp;MROUND(Massimali!$B$4*0.77,2.5)&amp;"kg"</f>
        <v>5x4 92,5kg</v>
      </c>
      <c r="E5" t="str">
        <f>"4x3 "&amp;MROUND(Massimali!$B$5*0.79,2.5)&amp;"kg"</f>
        <v>4x3 165kg</v>
      </c>
      <c r="F5" t="str">
        <f>MROUND(Massimali!$B$4*0.70,2.5)&amp;"kg 25-30RT"</f>
        <v>85kg 25-30RT</v>
      </c>
      <c r="G5" t="str">
        <f>"3x6 "&amp;MROUND(Massimali!$B$3*0.65,2.5)&amp;"kg"</f>
        <v>3x6 117,5kg</v>
      </c>
      <c r="H5" t="str">
        <v>4x5 @7/8</v>
      </c>
      <c r="I5" t="str">
        <f>"3x6 "&amp;MROUND(Massimali!$B$5*0.55,2.5)&amp;"kg"</f>
        <v>3x6 115kg</v>
      </c>
    </row>
    <row r="6">
      <c r="A6">
        <v>4</v>
      </c>
      <c r="C6" t="str">
        <f>"4x3 "&amp;MROUND(Massimali!$B$3*0.82,2.5)&amp;"kg + ist."</f>
        <v>4x3 147,5kg + ist.</v>
      </c>
      <c r="D6" t="str">
        <f>"5x3 "&amp;MROUND(Massimali!$B$4*0.80,2.5)&amp;"kg"</f>
        <v>5x3 95kg</v>
      </c>
      <c r="E6" t="str">
        <f>"3x3 "&amp;MROUND(Massimali!$B$5*0.83,2.5)&amp;"kg"</f>
        <v>3x3 175kg</v>
      </c>
      <c r="F6" t="str">
        <f>MROUND(Massimali!$B$4*0.72,2.5)&amp;"kg 25-30RT"</f>
        <v>87,5kg 25-30RT</v>
      </c>
      <c r="G6" t="str">
        <f>"3x6 "&amp;MROUND(Massimali!$B$3*0.67,2.5)&amp;"kg"</f>
        <v>3x6 120kg</v>
      </c>
      <c r="H6" t="str">
        <v>4x5 @7/8</v>
      </c>
      <c r="I6" t="str">
        <f>"3x6 "&amp;MROUND(Massimali!$B$5*0.575,2.5)&amp;"kg"</f>
        <v>3x6 120kg</v>
      </c>
    </row>
    <row r="7">
      <c r="A7">
        <v>5</v>
      </c>
      <c r="B7" t="str">
        <v>transizione</v>
      </c>
      <c r="C7" t="str">
        <f>"3x3 "&amp;MROUND(Massimali!$B$3*0.72,2.5)&amp;"kg"</f>
        <v>3x3 130kg</v>
      </c>
      <c r="D7" t="str">
        <f>"3x3 "&amp;MROUND(Massimali!$B$4*0.72,2.5)&amp;"kg"</f>
        <v>3x3 87,5kg</v>
      </c>
      <c r="E7" t="str">
        <v>3x2 @7</v>
      </c>
      <c r="F7" t="str">
        <f>MROUND(Massimali!$B$4*0.65,2.5)&amp;"kg 20RT"</f>
        <v>77,5kg 20RT</v>
      </c>
      <c r="G7" t="str">
        <f>"2x6 "&amp;MROUND(Massimali!$B$3*0.60,2.5)&amp;"kg"</f>
        <v>2x6 107,5kg</v>
      </c>
      <c r="H7" t="str">
        <v>3x5 @6</v>
      </c>
    </row>
    <row r="8">
      <c r="B8" t="str">
        <v>Blocco 2 – Intensificazione</v>
      </c>
      <c r="C8" t="str">
        <v>no var.</v>
      </c>
      <c r="D8" t="str">
        <v>no var.</v>
      </c>
      <c r="E8" t="str">
        <v>no var.</v>
      </c>
      <c r="F8" t="str">
        <v>presa stretta</v>
      </c>
      <c r="G8" t="str">
        <v>fermo in buca 2''</v>
      </c>
      <c r="H8" t="str">
        <v>spoto</v>
      </c>
      <c r="I8" t="str">
        <v>deficit 3cm</v>
      </c>
    </row>
    <row r="9">
      <c r="A9">
        <v>6</v>
      </c>
      <c r="C9" t="str">
        <v>1@8 + 90% 3x3</v>
      </c>
      <c r="D9" t="str">
        <f>"1x1 "&amp;MROUND(Massimali!$B$4*0.88,2.5)&amp;"kg + 4x3 "&amp;MROUND(Massimali!$B$4*0.83,2.5)&amp;"kg"</f>
        <v>1x1 105kg + 4x3 100kg</v>
      </c>
      <c r="E9" t="str">
        <f>MROUND(Massimali!$B$5*0.85,2.5)&amp;"kg 15-20RT"</f>
        <v>177,5kg 15-20RT</v>
      </c>
      <c r="F9" t="str">
        <f>MROUND(Massimali!$B$4*0.73,2.5)&amp;"kg 25-30RT"</f>
        <v>87,5kg 25-30RT</v>
      </c>
      <c r="G9" t="str">
        <f>"4x4 "&amp;MROUND(Massimali!$B$3*0.68,2.5)&amp;"kg"</f>
        <v>4x4 122,5kg</v>
      </c>
      <c r="H9" t="str">
        <v>4x4 @7</v>
      </c>
      <c r="I9" t="str">
        <f>"3x4 "&amp;MROUND(Massimali!$B$5*0.65,2.5)&amp;"kg"</f>
        <v>3x4 137,5kg</v>
      </c>
    </row>
    <row r="10">
      <c r="A10">
        <v>7</v>
      </c>
      <c r="C10" t="str">
        <v>1@8 + 90% 3x2</v>
      </c>
      <c r="D10" t="str">
        <f>"1x1 "&amp;MROUND(Massimali!$B$4*0.90,2.5)&amp;"kg + 4x2 "&amp;MROUND(Massimali!$B$4*0.85,2.5)&amp;"kg"</f>
        <v>1x1 107,5kg + 4x2 102,5kg</v>
      </c>
      <c r="E10" t="str">
        <f>"5x2 "&amp;MROUND(Massimali!$B$5*0.87,2.5)&amp;"kg"</f>
        <v>5x2 182,5kg</v>
      </c>
      <c r="F10" t="str">
        <f>MROUND(Massimali!$B$4*0.75,2.5)&amp;"kg 20-25RT"</f>
        <v>90kg 20-25RT</v>
      </c>
      <c r="G10" t="str">
        <f>"4x3 "&amp;MROUND(Massimali!$B$3*0.70,2.5)&amp;"kg"</f>
        <v>4x3 125kg</v>
      </c>
      <c r="H10" t="str">
        <v>4x3 @7</v>
      </c>
      <c r="I10" t="str">
        <f>"3x3 "&amp;MROUND(Massimali!$B$5*0.675,2.5)&amp;"kg"</f>
        <v>3x3 142,5kg</v>
      </c>
    </row>
    <row r="11">
      <c r="A11">
        <v>8</v>
      </c>
      <c r="C11" t="str">
        <f>"4x2 "&amp;MROUND(Massimali!$B$3*0.87,2.5)&amp;"kg"</f>
        <v>4x2 157,5kg</v>
      </c>
      <c r="D11" t="str">
        <f>"6x2 "&amp;MROUND(Massimali!$B$4*0.86,2.5)&amp;"kg"</f>
        <v>6x2 102,5kg</v>
      </c>
      <c r="E11" t="str">
        <f>"EMOM 8 "&amp;MROUND(Massimali!$B$5*0.80,2.5)&amp;"kg"</f>
        <v>EMOM 8 167,5kg</v>
      </c>
      <c r="F11" t="str">
        <f>MROUND(Massimali!$B$4*0.77,2.5)&amp;"kg 20RT"</f>
        <v>92,5kg 20RT</v>
      </c>
      <c r="G11" t="str">
        <f>"3x3 "&amp;MROUND(Massimali!$B$3*0.72,2.5)&amp;"kg"</f>
        <v>3x3 130kg</v>
      </c>
      <c r="H11" t="str">
        <v>4x3 @7/8</v>
      </c>
      <c r="I11" t="str">
        <f>"3x3 "&amp;MROUND(Massimali!$B$5*0.70,2.5)&amp;"kg"</f>
        <v>3x3 147,5kg</v>
      </c>
    </row>
    <row r="12">
      <c r="A12">
        <v>9</v>
      </c>
      <c r="C12" t="str">
        <v>1@9 + 85% 2x2</v>
      </c>
      <c r="D12" t="str">
        <v>1@8/9 + 90% 3x2</v>
      </c>
      <c r="E12" t="str">
        <f>"3x1 "&amp;MROUND(Massimali!$B$5*0.90,2.5)&amp;"kg @8"</f>
        <v>3x1 190kg @8</v>
      </c>
      <c r="F12" t="str">
        <f>MROUND(Massimali!$B$4*0.70,2.5)&amp;"kg 15RT"</f>
        <v>85kg 15RT</v>
      </c>
      <c r="G12" t="str">
        <f>"3x2 "&amp;MROUND(Massimali!$B$3*0.70,2.5)&amp;"kg"</f>
        <v>3x2 125kg</v>
      </c>
      <c r="H12" t="str">
        <v>3x2 @7</v>
      </c>
    </row>
    <row r="13">
      <c r="A13">
        <v>10</v>
      </c>
      <c r="B13" t="str">
        <v>test</v>
      </c>
      <c r="C13" t="str">
        <v>TEST</v>
      </c>
      <c r="D13" t="str">
        <v>TEST</v>
      </c>
      <c r="E13" t="str">
        <v>TEST</v>
      </c>
      <c r="G13" t="str">
        <v>—</v>
      </c>
      <c r="H13" t="str">
        <v>—</v>
      </c>
    </row>
  </sheetData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26.83203125" customWidth="1"/>
    <col min="3" max="3" width="30.83203125" customWidth="1"/>
    <col min="4" max="4" width="18.83203125" customWidth="1"/>
    <col min="5" max="5" width="8.83203125" customWidth="1"/>
    <col min="6" max="6" width="10.83203125" customWidth="1"/>
    <col min="7" max="7" width="9.83203125" customWidth="1"/>
    <col min="8" max="8" width="9.83203125" customWidth="1"/>
  </cols>
  <sheetData>
    <row r="1">
      <c r="A1" t="str">
        <v>Giorno</v>
      </c>
      <c r="B1" t="str">
        <v>Esercizio</v>
      </c>
      <c r="C1" t="str">
        <v>Istruzioni</v>
      </c>
      <c r="D1" t="str">
        <v>Gruppo</v>
      </c>
      <c r="E1" t="str">
        <v>Rep</v>
      </c>
      <c r="F1" t="str">
        <v>Intensità</v>
      </c>
      <c r="G1" t="str">
        <v>Serie B1</v>
      </c>
      <c r="H1" t="str">
        <v>Serie B2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Massimali</vt:lpstr>
      <vt:lpstr>overall</vt:lpstr>
      <vt:lpstr>accessori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